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2" l="1"/>
  <c r="B6" i="2"/>
  <c r="B8" i="2" s="1"/>
  <c r="B9" i="2" s="1"/>
  <c r="B10" i="2" s="1"/>
  <c r="AA5" i="1"/>
  <c r="AA6" i="1"/>
  <c r="AA7" i="1"/>
  <c r="AA4" i="1"/>
  <c r="AA3" i="1"/>
  <c r="AA2" i="1"/>
  <c r="AA1" i="1"/>
  <c r="Z10" i="1"/>
  <c r="T7" i="1"/>
  <c r="T6" i="1"/>
  <c r="T5" i="1"/>
  <c r="T4" i="1"/>
  <c r="Z3" i="1" l="1"/>
  <c r="Z4" i="1"/>
  <c r="Z5" i="1"/>
  <c r="Z6" i="1"/>
  <c r="Z7" i="1"/>
  <c r="Z8" i="1"/>
  <c r="Z2" i="1"/>
  <c r="X8" i="1"/>
  <c r="X3" i="1"/>
  <c r="X4" i="1"/>
  <c r="X5" i="1"/>
  <c r="X6" i="1"/>
  <c r="X7" i="1"/>
  <c r="X2" i="1"/>
  <c r="G3" i="1"/>
  <c r="G4" i="1"/>
  <c r="G5" i="1"/>
  <c r="H5" i="1" s="1"/>
  <c r="G6" i="1"/>
  <c r="G7" i="1"/>
  <c r="G8" i="1"/>
  <c r="G2" i="1"/>
  <c r="H2" i="1" s="1"/>
  <c r="I8" i="1"/>
  <c r="H8" i="1"/>
  <c r="F8" i="1"/>
  <c r="I7" i="1"/>
  <c r="H7" i="1"/>
  <c r="F7" i="1"/>
  <c r="I6" i="1"/>
  <c r="H6" i="1"/>
  <c r="F6" i="1"/>
  <c r="I5" i="1"/>
  <c r="F5" i="1"/>
  <c r="I4" i="1"/>
  <c r="H4" i="1"/>
  <c r="F4" i="1"/>
  <c r="I3" i="1"/>
  <c r="H3" i="1"/>
  <c r="F3" i="1"/>
  <c r="I2" i="1"/>
  <c r="F2" i="1"/>
</calcChain>
</file>

<file path=xl/sharedStrings.xml><?xml version="1.0" encoding="utf-8"?>
<sst xmlns="http://schemas.openxmlformats.org/spreadsheetml/2006/main" count="27" uniqueCount="27">
  <si>
    <t>№ детали</t>
  </si>
  <si>
    <t>Радиус R (мм)</t>
  </si>
  <si>
    <t>Высота h (мм)</t>
  </si>
  <si>
    <t>Масса m (кг)</t>
  </si>
  <si>
    <t>Длина L (мм)</t>
  </si>
  <si>
    <t>Диаметр (мм)</t>
  </si>
  <si>
    <t>Объем (мм³)</t>
  </si>
  <si>
    <t>Корень из объема</t>
  </si>
  <si>
    <t>Длина дуги</t>
  </si>
  <si>
    <t>Дуга через РАДИАНЫ</t>
  </si>
  <si>
    <t>|m-3|</t>
  </si>
  <si>
    <t>Общая масса всех деталей</t>
  </si>
  <si>
    <t>Масса деталей &gt; 2 кг</t>
  </si>
  <si>
    <t>Средневзвешенная масса</t>
  </si>
  <si>
    <t>Количество деталей &gt; 2 кг</t>
  </si>
  <si>
    <t>Средняя масса</t>
  </si>
  <si>
    <t>Максимальная масса</t>
  </si>
  <si>
    <t>Минимальная масса</t>
  </si>
  <si>
    <t>Расчет кредита</t>
  </si>
  <si>
    <t>Сумма кредита</t>
  </si>
  <si>
    <t>Годовая ставка</t>
  </si>
  <si>
    <t>Срок (лет)</t>
  </si>
  <si>
    <t>Ежемесячная ставка</t>
  </si>
  <si>
    <t>Количество платежей</t>
  </si>
  <si>
    <t>Ежемесячный платеж</t>
  </si>
  <si>
    <t>Общая сумма выплат</t>
  </si>
  <si>
    <t>Переплата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</si>
</sst>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5" formatCode="0.0"/>
    <numFmt numFmtId="166" formatCode="#,##0.0"/>
    <numFmt numFmtId="169" formatCode="0.0%"/>
    <numFmt numFmtId="170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04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1F4E78"/>
        <bgColor rgb="FF1F4E78"/>
      </patternFill>
    </fill>
    <fill>
      <patternFill patternType="solid">
        <fgColor theme="0"/>
        <bgColor rgb="FF1F4E78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65" fontId="0" fillId="0" borderId="1" xfId="0" applyNumberFormat="1" applyBorder="1"/>
    <xf numFmtId="0" fontId="1" fillId="3" borderId="1" xfId="0" applyFont="1" applyFill="1" applyBorder="1" applyAlignment="1">
      <alignment wrapText="1"/>
    </xf>
    <xf numFmtId="0" fontId="0" fillId="0" borderId="1" xfId="0" applyBorder="1"/>
    <xf numFmtId="166" fontId="0" fillId="0" borderId="1" xfId="0" applyNumberFormat="1" applyBorder="1"/>
    <xf numFmtId="165" fontId="0" fillId="0" borderId="0" xfId="0" applyNumberFormat="1" applyBorder="1"/>
    <xf numFmtId="169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" fontId="0" fillId="0" borderId="2" xfId="0" applyNumberFormat="1" applyBorder="1" applyAlignment="1">
      <alignment horizontal="center" vertical="center"/>
    </xf>
    <xf numFmtId="170" fontId="0" fillId="0" borderId="2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2" xfId="0" applyNumberFormat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165" fontId="3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wrapText="1"/>
    </xf>
    <xf numFmtId="0" fontId="1" fillId="3" borderId="1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"/>
  <sheetViews>
    <sheetView topLeftCell="L1" zoomScale="85" zoomScaleNormal="85" workbookViewId="0">
      <selection activeCell="AC1" sqref="AC1"/>
    </sheetView>
  </sheetViews>
  <sheetFormatPr defaultRowHeight="15" x14ac:dyDescent="0.25"/>
  <cols>
    <col min="1" max="1" width="10.28515625" bestFit="1" customWidth="1"/>
    <col min="2" max="2" width="14.140625" bestFit="1" customWidth="1"/>
    <col min="3" max="3" width="14.28515625" bestFit="1" customWidth="1"/>
    <col min="4" max="4" width="12.5703125" customWidth="1"/>
    <col min="5" max="5" width="13.28515625" bestFit="1" customWidth="1"/>
    <col min="6" max="6" width="14.42578125" bestFit="1" customWidth="1"/>
    <col min="7" max="7" width="13.28515625" bestFit="1" customWidth="1"/>
    <col min="8" max="8" width="18" bestFit="1" customWidth="1"/>
    <col min="9" max="9" width="6.5703125" bestFit="1" customWidth="1"/>
    <col min="10" max="10" width="16.5703125" bestFit="1" customWidth="1"/>
    <col min="20" max="20" width="11.5703125" bestFit="1" customWidth="1"/>
    <col min="24" max="24" width="11.28515625" bestFit="1" customWidth="1"/>
    <col min="26" max="26" width="21" bestFit="1" customWidth="1"/>
    <col min="28" max="28" width="26.140625" bestFit="1" customWidth="1"/>
  </cols>
  <sheetData>
    <row r="1" spans="1:28" ht="20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1" t="s">
        <v>10</v>
      </c>
      <c r="J1" s="20"/>
      <c r="K1">
        <v>3</v>
      </c>
      <c r="T1" s="15">
        <v>100000</v>
      </c>
      <c r="U1" s="11"/>
      <c r="V1" s="11"/>
      <c r="W1" s="11"/>
      <c r="X1" s="17" t="s">
        <v>8</v>
      </c>
      <c r="Y1" s="15">
        <v>60</v>
      </c>
      <c r="Z1" s="17" t="s">
        <v>9</v>
      </c>
      <c r="AA1" s="18">
        <f>SUM(D2:D8)</f>
        <v>21.799999999999997</v>
      </c>
      <c r="AB1" s="19" t="s">
        <v>11</v>
      </c>
    </row>
    <row r="2" spans="1:28" x14ac:dyDescent="0.25">
      <c r="A2" s="3">
        <v>1</v>
      </c>
      <c r="B2" s="1">
        <v>12.5</v>
      </c>
      <c r="C2" s="1">
        <v>30</v>
      </c>
      <c r="D2" s="1">
        <v>2.4</v>
      </c>
      <c r="E2" s="1">
        <v>145</v>
      </c>
      <c r="F2" s="1">
        <f t="shared" ref="F2:F8" si="0">2*B2</f>
        <v>25</v>
      </c>
      <c r="G2" s="4">
        <f>PI()*POWER(B2,2)*C2</f>
        <v>14726.215563702155</v>
      </c>
      <c r="H2" s="1">
        <f t="shared" ref="H2:H8" si="1">SQRT(G2)</f>
        <v>121.3516195347312</v>
      </c>
      <c r="I2" s="1">
        <f t="shared" ref="I2:I8" si="2">ABS(D2-$K$1)</f>
        <v>0.60000000000000009</v>
      </c>
      <c r="J2" s="5"/>
      <c r="T2" s="6">
        <v>0.12</v>
      </c>
      <c r="U2" s="11"/>
      <c r="V2" s="11"/>
      <c r="W2" s="11"/>
      <c r="X2" s="13">
        <f>PI()*B2*$Y$1/180</f>
        <v>13.089969389957471</v>
      </c>
      <c r="Y2" s="11"/>
      <c r="Z2" s="13">
        <f>B2*RADIANS($Y$1)</f>
        <v>13.089969389957471</v>
      </c>
      <c r="AA2" s="7">
        <f>SUMIF(D2:D8,"&gt;2")</f>
        <v>18.100000000000001</v>
      </c>
      <c r="AB2" s="7" t="s">
        <v>12</v>
      </c>
    </row>
    <row r="3" spans="1:28" x14ac:dyDescent="0.25">
      <c r="A3" s="3">
        <v>2</v>
      </c>
      <c r="B3" s="1">
        <v>8.3000000000000007</v>
      </c>
      <c r="C3" s="1">
        <v>25</v>
      </c>
      <c r="D3" s="1">
        <v>1.1000000000000001</v>
      </c>
      <c r="E3" s="1">
        <v>98</v>
      </c>
      <c r="F3" s="1">
        <f t="shared" si="0"/>
        <v>16.600000000000001</v>
      </c>
      <c r="G3" s="4">
        <f t="shared" ref="G3:G8" si="3">PI()*POWER(B3,2)*C3</f>
        <v>5410.6079476450223</v>
      </c>
      <c r="H3" s="1">
        <f t="shared" si="1"/>
        <v>73.556834812578927</v>
      </c>
      <c r="I3" s="1">
        <f t="shared" si="2"/>
        <v>1.9</v>
      </c>
      <c r="J3" s="5"/>
      <c r="T3" s="7">
        <v>5</v>
      </c>
      <c r="U3" s="11"/>
      <c r="V3" s="11"/>
      <c r="W3" s="11"/>
      <c r="X3" s="13">
        <f t="shared" ref="X3:X8" si="4">PI()*B3*$Y$1/180</f>
        <v>8.6917396749317621</v>
      </c>
      <c r="Y3" s="11"/>
      <c r="Z3" s="13">
        <f t="shared" ref="Z3:Z8" si="5">B3*RADIANS($Y$1)</f>
        <v>8.6917396749317604</v>
      </c>
      <c r="AA3" s="7">
        <f>SUMPRODUCT(D2:D8,E2:E8)/SUM(E2:E8)</f>
        <v>4.0744612928970474</v>
      </c>
      <c r="AB3" s="7" t="s">
        <v>13</v>
      </c>
    </row>
    <row r="4" spans="1:28" x14ac:dyDescent="0.25">
      <c r="A4" s="3">
        <v>3</v>
      </c>
      <c r="B4" s="1">
        <v>15.7</v>
      </c>
      <c r="C4" s="1">
        <v>40</v>
      </c>
      <c r="D4" s="1">
        <v>4</v>
      </c>
      <c r="E4" s="1">
        <v>210</v>
      </c>
      <c r="F4" s="1">
        <f t="shared" si="0"/>
        <v>31.4</v>
      </c>
      <c r="G4" s="4">
        <f t="shared" si="3"/>
        <v>30974.846927333921</v>
      </c>
      <c r="H4" s="1">
        <f t="shared" si="1"/>
        <v>175.99672419489494</v>
      </c>
      <c r="I4" s="1">
        <f t="shared" si="2"/>
        <v>1</v>
      </c>
      <c r="J4" s="5"/>
      <c r="T4" s="8">
        <f>T1*(1+T2)^T3</f>
        <v>176234.16832000006</v>
      </c>
      <c r="U4" s="11"/>
      <c r="V4" s="11"/>
      <c r="W4" s="11"/>
      <c r="X4" s="13">
        <f t="shared" si="4"/>
        <v>16.441001553786581</v>
      </c>
      <c r="Y4" s="11"/>
      <c r="Z4" s="13">
        <f t="shared" si="5"/>
        <v>16.441001553786581</v>
      </c>
      <c r="AA4" s="7">
        <f>COUNTIF(D2:D8,"&gt;2")</f>
        <v>4</v>
      </c>
      <c r="AB4" s="7" t="s">
        <v>14</v>
      </c>
    </row>
    <row r="5" spans="1:28" x14ac:dyDescent="0.25">
      <c r="A5" s="3">
        <v>4</v>
      </c>
      <c r="B5" s="1">
        <v>6.2</v>
      </c>
      <c r="C5" s="1">
        <v>18</v>
      </c>
      <c r="D5" s="1">
        <v>0.7</v>
      </c>
      <c r="E5" s="1">
        <v>75</v>
      </c>
      <c r="F5" s="1">
        <f t="shared" si="0"/>
        <v>12.4</v>
      </c>
      <c r="G5" s="4">
        <f t="shared" si="3"/>
        <v>2173.7307888718501</v>
      </c>
      <c r="H5" s="1">
        <f t="shared" si="1"/>
        <v>46.623285908136616</v>
      </c>
      <c r="I5" s="1">
        <f t="shared" si="2"/>
        <v>2.2999999999999998</v>
      </c>
      <c r="J5" s="5"/>
      <c r="T5" s="8">
        <f>T1*EXP(T2*T3)</f>
        <v>182211.88003905088</v>
      </c>
      <c r="U5" s="11"/>
      <c r="V5" s="11"/>
      <c r="W5" s="11"/>
      <c r="X5" s="13">
        <f t="shared" si="4"/>
        <v>6.4926248174189052</v>
      </c>
      <c r="Y5" s="11"/>
      <c r="Z5" s="13">
        <f t="shared" si="5"/>
        <v>6.4926248174189052</v>
      </c>
      <c r="AA5" s="14">
        <f>AVERAGE(D2:D8)</f>
        <v>3.1142857142857139</v>
      </c>
      <c r="AB5" s="7" t="s">
        <v>15</v>
      </c>
    </row>
    <row r="6" spans="1:28" x14ac:dyDescent="0.25">
      <c r="A6" s="3">
        <v>5</v>
      </c>
      <c r="B6" s="1">
        <v>20.100000000000001</v>
      </c>
      <c r="C6" s="1">
        <v>55</v>
      </c>
      <c r="D6" s="1">
        <v>6.5</v>
      </c>
      <c r="E6" s="1">
        <v>320</v>
      </c>
      <c r="F6" s="1">
        <f t="shared" si="0"/>
        <v>40.200000000000003</v>
      </c>
      <c r="G6" s="4">
        <f t="shared" si="3"/>
        <v>69807.916638724681</v>
      </c>
      <c r="H6" s="1">
        <f t="shared" si="1"/>
        <v>264.21187830740064</v>
      </c>
      <c r="I6" s="1">
        <f t="shared" si="2"/>
        <v>3.5</v>
      </c>
      <c r="J6" s="5"/>
      <c r="T6" s="9">
        <f>72/(T2*100)</f>
        <v>6</v>
      </c>
      <c r="U6" s="11"/>
      <c r="V6" s="11"/>
      <c r="W6" s="11"/>
      <c r="X6" s="13">
        <f t="shared" si="4"/>
        <v>21.048670779051616</v>
      </c>
      <c r="Y6" s="11"/>
      <c r="Z6" s="13">
        <f t="shared" si="5"/>
        <v>21.048670779051612</v>
      </c>
      <c r="AA6" s="14">
        <f>MAX(D2:D8)</f>
        <v>6.5</v>
      </c>
      <c r="AB6" s="7" t="s">
        <v>16</v>
      </c>
    </row>
    <row r="7" spans="1:28" x14ac:dyDescent="0.25">
      <c r="A7" s="3">
        <v>6</v>
      </c>
      <c r="B7" s="1">
        <v>10.4</v>
      </c>
      <c r="C7" s="1">
        <v>28</v>
      </c>
      <c r="D7" s="1">
        <v>1.9</v>
      </c>
      <c r="E7" s="1">
        <v>130</v>
      </c>
      <c r="F7" s="1">
        <f t="shared" si="0"/>
        <v>20.8</v>
      </c>
      <c r="G7" s="4">
        <f t="shared" si="3"/>
        <v>9514.250519543617</v>
      </c>
      <c r="H7" s="1">
        <f t="shared" si="1"/>
        <v>97.541019676562826</v>
      </c>
      <c r="I7" s="1">
        <f t="shared" si="2"/>
        <v>1.1000000000000001</v>
      </c>
      <c r="J7" s="5"/>
      <c r="T7" s="9">
        <f>LN(2)/LN(1+T2)</f>
        <v>6.1162553741996994</v>
      </c>
      <c r="U7" s="11"/>
      <c r="V7" s="11"/>
      <c r="W7" s="11"/>
      <c r="X7" s="13">
        <f t="shared" si="4"/>
        <v>10.890854532444616</v>
      </c>
      <c r="Y7" s="11"/>
      <c r="Z7" s="13">
        <f t="shared" si="5"/>
        <v>10.890854532444616</v>
      </c>
      <c r="AA7" s="14">
        <f>MIN(D2:D8)</f>
        <v>0.7</v>
      </c>
      <c r="AB7" s="7" t="s">
        <v>17</v>
      </c>
    </row>
    <row r="8" spans="1:28" x14ac:dyDescent="0.25">
      <c r="A8" s="3">
        <v>7</v>
      </c>
      <c r="B8" s="1">
        <v>18.899999999999999</v>
      </c>
      <c r="C8" s="1">
        <v>48</v>
      </c>
      <c r="D8" s="1">
        <v>5.2</v>
      </c>
      <c r="E8" s="1">
        <v>275</v>
      </c>
      <c r="F8" s="1">
        <f t="shared" si="0"/>
        <v>37.799999999999997</v>
      </c>
      <c r="G8" s="4">
        <f t="shared" si="3"/>
        <v>53865.998965862877</v>
      </c>
      <c r="H8" s="1">
        <f t="shared" si="1"/>
        <v>232.09049736226359</v>
      </c>
      <c r="I8" s="1">
        <f t="shared" si="2"/>
        <v>2.2000000000000002</v>
      </c>
      <c r="J8" s="5"/>
      <c r="T8" s="11"/>
      <c r="U8" s="11"/>
      <c r="V8" s="11"/>
      <c r="W8" s="11"/>
      <c r="X8" s="13">
        <f t="shared" si="4"/>
        <v>19.792033717615695</v>
      </c>
      <c r="Y8" s="11"/>
      <c r="Z8" s="13">
        <f t="shared" si="5"/>
        <v>19.792033717615695</v>
      </c>
    </row>
    <row r="9" spans="1:28" x14ac:dyDescent="0.25">
      <c r="T9" s="11"/>
      <c r="U9" s="11"/>
      <c r="V9" s="11"/>
      <c r="W9" s="11"/>
      <c r="X9" s="11"/>
      <c r="Y9" s="11"/>
      <c r="Z9" s="12"/>
    </row>
    <row r="10" spans="1:28" x14ac:dyDescent="0.25">
      <c r="T10" s="11"/>
      <c r="U10" s="11"/>
      <c r="V10" s="11"/>
      <c r="W10" s="11"/>
      <c r="X10" s="11"/>
      <c r="Y10" s="11"/>
      <c r="Z10" s="10">
        <f>DEGREES(PI()/3)</f>
        <v>59.999999999999993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activeCell="B17" sqref="B17"/>
    </sheetView>
  </sheetViews>
  <sheetFormatPr defaultRowHeight="15" x14ac:dyDescent="0.25"/>
  <cols>
    <col min="1" max="1" width="21.42578125" bestFit="1" customWidth="1"/>
    <col min="2" max="2" width="10" bestFit="1" customWidth="1"/>
  </cols>
  <sheetData>
    <row r="1" spans="1:2" x14ac:dyDescent="0.25">
      <c r="A1" s="16" t="s">
        <v>18</v>
      </c>
    </row>
    <row r="2" spans="1:2" x14ac:dyDescent="0.25">
      <c r="A2" s="7" t="s">
        <v>19</v>
      </c>
      <c r="B2" s="7">
        <v>500000</v>
      </c>
    </row>
    <row r="3" spans="1:2" x14ac:dyDescent="0.25">
      <c r="A3" s="7" t="s">
        <v>20</v>
      </c>
      <c r="B3" s="7">
        <v>0.18</v>
      </c>
    </row>
    <row r="4" spans="1:2" x14ac:dyDescent="0.25">
      <c r="A4" s="7" t="s">
        <v>21</v>
      </c>
      <c r="B4" s="7">
        <v>3</v>
      </c>
    </row>
    <row r="6" spans="1:2" x14ac:dyDescent="0.25">
      <c r="A6" s="7" t="s">
        <v>22</v>
      </c>
      <c r="B6" s="9">
        <f>B3/12</f>
        <v>1.4999999999999999E-2</v>
      </c>
    </row>
    <row r="7" spans="1:2" x14ac:dyDescent="0.25">
      <c r="A7" s="7" t="s">
        <v>23</v>
      </c>
      <c r="B7" s="7">
        <f>B4*12</f>
        <v>36</v>
      </c>
    </row>
    <row r="8" spans="1:2" x14ac:dyDescent="0.25">
      <c r="A8" s="7" t="s">
        <v>24</v>
      </c>
      <c r="B8" s="8">
        <f>B2*B6*(1+B6)^B7/((1+B6)^B7-1)</f>
        <v>18076.197767958543</v>
      </c>
    </row>
    <row r="9" spans="1:2" x14ac:dyDescent="0.25">
      <c r="A9" s="7" t="s">
        <v>25</v>
      </c>
      <c r="B9" s="8">
        <f>B8*B7</f>
        <v>650743.11964650755</v>
      </c>
    </row>
    <row r="10" spans="1:2" x14ac:dyDescent="0.25">
      <c r="A10" s="7" t="s">
        <v>26</v>
      </c>
      <c r="B10" s="8">
        <f>B9-B2</f>
        <v>150743.11964650755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2026-10-13T11:25:57Z</dcterms:modified>
</cp:coreProperties>
</file>